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port Interventi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<sst xmlns="http://schemas.openxmlformats.org/spreadsheetml/2006/main" count="31" uniqueCount="31">
  <si>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t xml:space="preserve">S.C. AQUATIS ENGINEERING S.R.L.
Str. Eufrosina Popescu 50, Sector 3</t>
  </si>
  <si>
    <t xml:space="preserve">office@aquatis.ro
www.aquatis.ro
0721.137.178</t>
  </si>
  <si>
    <t xml:space="preserve">                                                                     J40/18144/2007
                                                                  CUI: RO22479681
                                            RO77RNCB0074092331280001</t>
  </si>
  <si>
    <t xml:space="preserve">RAPORT INTERVENȚII — CHIMICALE PISCINĂ</t>
  </si>
  <si>
    <t xml:space="preserve">Client</t>
  </si>
  <si>
    <t xml:space="preserve">Perioada raportata</t>
  </si>
  <si>
    <t xml:space="preserve">Nr. Document</t>
  </si>
  <si>
    <t xml:space="preserve">Data emiterii</t>
  </si>
  <si>
    <t xml:space="preserve">Popescu Ion</t>
  </si>
  <si>
    <t xml:space="preserve">01.06.2025 - 30.06.2025</t>
  </si>
  <si>
    <t xml:space="preserve">AQ-2025-042</t>
  </si>
  <si>
    <t xml:space="preserve">15.07.2025</t>
  </si>
  <si>
    <t xml:space="preserve">Data
intervenție</t>
  </si>
  <si>
    <t xml:space="preserve">Cant.
</t>
  </si>
  <si>
    <t xml:space="preserve">CHIMICALE FOLOSITE</t>
  </si>
  <si>
    <t xml:space="preserve">Total plată
(RON)</t>
  </si>
  <si>
    <t xml:space="preserve">Clor
Rapid</t>
  </si>
  <si>
    <t xml:space="preserve">Clor
Lent</t>
  </si>
  <si>
    <t xml:space="preserve">pH−</t>
  </si>
  <si>
    <t xml:space="preserve">Antialgic</t>
  </si>
  <si>
    <t xml:space="preserve">Floculant</t>
  </si>
  <si>
    <t xml:space="preserve">Dedurizant</t>
  </si>
  <si>
    <t xml:space="preserve">pH
Lichid</t>
  </si>
  <si>
    <t xml:space="preserve">Cl
Lichid</t>
  </si>
  <si>
    <t xml:space="preserve">03.06</t>
  </si>
  <si>
    <t xml:space="preserve">10.06</t>
  </si>
  <si>
    <t xml:space="preserve">Cantitate totală</t>
  </si>
  <si>
    <t xml:space="preserve">Preț unitar (RON)</t>
  </si>
  <si>
    <t xml:space="preserve">TOTAL GENERAL (RON)</t>
  </si>
  <si>
    <t xml:space="preserve">Toate prețurile sunt exprimate în RON</t>
  </si>
  <si>
    <t xml:space="preserve">S.C. Aquatis Engineering S.R.L.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</si>
</sst>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sz val="8.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8"/>
      <color rgb="FF404040"/>
      <name val="Arial"/>
      <family val="0"/>
      <charset val="1"/>
    </font>
    <font>
      <b val="true"/>
      <sz val="10"/>
      <color rgb="FF0D2D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sz val="9"/>
      <color rgb="FF0D2D5A"/>
      <name val="Arial"/>
      <family val="0"/>
      <charset val="1"/>
    </font>
    <font>
      <sz val="8.5"/>
      <color rgb="FF0D2D5A"/>
      <name val="Arial"/>
      <family val="0"/>
      <charset val="1"/>
    </font>
    <font>
      <sz val="7.5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D2D5A"/>
        <bgColor rgb="FF1F4E79"/>
      </patternFill>
    </fill>
    <fill>
      <patternFill patternType="solid">
        <fgColor rgb="FF8DB4E2"/>
        <bgColor rgb="FFA8C8E8"/>
      </patternFill>
    </fill>
    <fill>
      <patternFill patternType="solid">
        <fgColor rgb="FF4DB8E8"/>
        <bgColor rgb="FF8DB4E2"/>
      </patternFill>
    </fill>
    <fill>
      <patternFill patternType="solid">
        <fgColor rgb="FF1D507F"/>
        <bgColor rgb="FF1F4E79"/>
      </patternFill>
    </fill>
    <fill>
      <patternFill patternType="solid">
        <fgColor rgb="FFE8F3FB"/>
        <bgColor rgb="FFEDF4FB"/>
      </patternFill>
    </fill>
    <fill>
      <patternFill patternType="solid">
        <fgColor rgb="FFFFFFFF"/>
        <bgColor rgb="FFF0F6FB"/>
      </patternFill>
    </fill>
    <fill>
      <patternFill patternType="solid">
        <fgColor rgb="FF1F4E79"/>
        <bgColor rgb="FF1D507F"/>
      </patternFill>
    </fill>
    <fill>
      <patternFill patternType="solid">
        <fgColor rgb="FFE0EEF8"/>
        <bgColor rgb="FFE8F3FB"/>
      </patternFill>
    </fill>
    <fill>
      <patternFill patternType="solid">
        <fgColor rgb="FFF0F6FB"/>
        <bgColor rgb="FFEDF4FB"/>
      </patternFill>
    </fill>
    <fill>
      <patternFill patternType="solid">
        <fgColor rgb="FFEDF4FB"/>
        <bgColor rgb="FFF0F6FB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thin">
        <color rgb="FFA8C8E8"/>
      </right>
      <top style="medium"/>
      <bottom style="medium"/>
      <diagonal/>
    </border>
    <border diagonalUp="false" diagonalDown="false">
      <left style="thin">
        <color rgb="FFA8C8E8"/>
      </left>
      <right style="thin">
        <color rgb="FFA8C8E8"/>
      </right>
      <top style="medium"/>
      <bottom style="medium"/>
      <diagonal/>
    </border>
    <border diagonalUp="false" diagonalDown="false">
      <left style="thin">
        <color rgb="FFA8C8E8"/>
      </left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>
        <color rgb="FFA8C8E8"/>
      </right>
      <top/>
      <bottom/>
      <diagonal/>
    </border>
    <border diagonalUp="false" diagonalDown="false">
      <left style="thin">
        <color rgb="FFA8C8E8"/>
      </left>
      <right style="thin">
        <color rgb="FFA8C8E8"/>
      </right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>
        <color rgb="FFA8C8E8"/>
      </right>
      <top/>
      <bottom style="dotted">
        <color rgb="FF4A7A99"/>
      </bottom>
      <diagonal/>
    </border>
    <border diagonalUp="false" diagonalDown="false">
      <left style="thin">
        <color rgb="FFA8C8E8"/>
      </left>
      <right style="thin">
        <color rgb="FFA8C8E8"/>
      </right>
      <top/>
      <bottom style="dotted">
        <color rgb="FF4A7A99"/>
      </bottom>
      <diagonal/>
    </border>
    <border diagonalUp="false" diagonalDown="false">
      <left/>
      <right style="medium"/>
      <top/>
      <bottom style="dotted">
        <color rgb="FF4A7A99"/>
      </bottom>
      <diagonal/>
    </border>
    <border diagonalUp="false" diagonalDown="false">
      <left style="medium"/>
      <right style="medium"/>
      <top style="medium"/>
      <bottom style="thin">
        <color rgb="FF0D2D5A"/>
      </bottom>
      <diagonal/>
    </border>
    <border diagonalUp="false" diagonalDown="false">
      <left style="medium"/>
      <right style="thin">
        <color rgb="FF1E5FA8"/>
      </right>
      <top style="medium"/>
      <bottom style="medium"/>
      <diagonal/>
    </border>
    <border diagonalUp="false" diagonalDown="false">
      <left/>
      <right style="thin">
        <color rgb="FF1E5FA8"/>
      </right>
      <top/>
      <bottom style="medium"/>
      <diagonal/>
    </border>
    <border diagonalUp="false" diagonalDown="false">
      <left style="thin">
        <color rgb="FF1E5FA8"/>
      </left>
      <right style="thin">
        <color rgb="FF1E5FA8"/>
      </right>
      <top/>
      <bottom style="medium"/>
      <diagonal/>
    </border>
    <border diagonalUp="false" diagonalDown="false">
      <left style="thin">
        <color rgb="FF1E5FA8"/>
      </left>
      <right/>
      <top/>
      <bottom style="medium"/>
      <diagonal/>
    </border>
    <border diagonalUp="false" diagonalDown="false">
      <left style="medium"/>
      <right style="thin">
        <color rgb="FFA8C8E8"/>
      </right>
      <top style="medium"/>
      <bottom style="thin">
        <color rgb="FFA8C8E8"/>
      </bottom>
      <diagonal/>
    </border>
    <border diagonalUp="false" diagonalDown="false">
      <left style="thin">
        <color rgb="FFA8C8E8"/>
      </left>
      <right style="thin">
        <color rgb="FFA8C8E8"/>
      </right>
      <top style="medium"/>
      <bottom style="thin">
        <color rgb="FFA8C8E8"/>
      </bottom>
      <diagonal/>
    </border>
    <border diagonalUp="false" diagonalDown="false">
      <left style="thin">
        <color rgb="FFA8C8E8"/>
      </left>
      <right style="medium"/>
      <top style="medium"/>
      <bottom style="thin">
        <color rgb="FFA8C8E8"/>
      </bottom>
      <diagonal/>
    </border>
    <border diagonalUp="false" diagonalDown="false">
      <left style="medium"/>
      <right style="thin">
        <color rgb="FFA8C8E8"/>
      </right>
      <top style="thin">
        <color rgb="FFA8C8E8"/>
      </top>
      <bottom style="thin">
        <color rgb="FFA8C8E8"/>
      </bottom>
      <diagonal/>
    </border>
    <border diagonalUp="false" diagonalDown="false">
      <left style="thin">
        <color rgb="FFA8C8E8"/>
      </left>
      <right style="thin">
        <color rgb="FFA8C8E8"/>
      </right>
      <top style="thin">
        <color rgb="FFA8C8E8"/>
      </top>
      <bottom style="thin">
        <color rgb="FFA8C8E8"/>
      </bottom>
      <diagonal/>
    </border>
    <border diagonalUp="false" diagonalDown="false">
      <left style="thin">
        <color rgb="FFA8C8E8"/>
      </left>
      <right style="medium"/>
      <top style="thin">
        <color rgb="FFA8C8E8"/>
      </top>
      <bottom style="thin">
        <color rgb="FFA8C8E8"/>
      </bottom>
      <diagonal/>
    </border>
    <border diagonalUp="false" diagonalDown="false">
      <left style="medium"/>
      <right style="thin">
        <color rgb="FFA8C8E8"/>
      </right>
      <top style="thin">
        <color rgb="FFA8C8E8"/>
      </top>
      <bottom style="medium"/>
      <diagonal/>
    </border>
    <border diagonalUp="false" diagonalDown="false">
      <left style="thin">
        <color rgb="FFA8C8E8"/>
      </left>
      <right style="thin">
        <color rgb="FFA8C8E8"/>
      </right>
      <top style="thin">
        <color rgb="FFA8C8E8"/>
      </top>
      <bottom style="medium"/>
      <diagonal/>
    </border>
    <border diagonalUp="false" diagonalDown="false">
      <left style="thin">
        <color rgb="FFA8C8E8"/>
      </left>
      <right style="medium"/>
      <top style="thin">
        <color rgb="FFA8C8E8"/>
      </top>
      <bottom style="medium"/>
      <diagonal/>
    </border>
    <border diagonalUp="false" diagonalDown="false">
      <left style="medium"/>
      <right style="thin">
        <color rgb="FF0D2D5A"/>
      </right>
      <top style="medium"/>
      <bottom style="thin">
        <color rgb="FF0D2D5A"/>
      </bottom>
      <diagonal/>
    </border>
    <border diagonalUp="false" diagonalDown="false">
      <left style="thin">
        <color rgb="FF0D2D5A"/>
      </left>
      <right style="thin">
        <color rgb="FF0D2D5A"/>
      </right>
      <top style="medium"/>
      <bottom style="thin">
        <color rgb="FF0D2D5A"/>
      </bottom>
      <diagonal/>
    </border>
    <border diagonalUp="false" diagonalDown="false">
      <left style="thin">
        <color rgb="FF0D2D5A"/>
      </left>
      <right style="medium"/>
      <top style="medium"/>
      <bottom style="thin">
        <color rgb="FF0D2D5A"/>
      </bottom>
      <diagonal/>
    </border>
    <border diagonalUp="false" diagonalDown="false">
      <left style="medium"/>
      <right style="thin">
        <color rgb="FF1E5FA8"/>
      </right>
      <top style="thin">
        <color rgb="FF1E5FA8"/>
      </top>
      <bottom style="thin">
        <color rgb="FF1E5FA8"/>
      </bottom>
      <diagonal/>
    </border>
    <border diagonalUp="false" diagonalDown="false">
      <left style="thin">
        <color rgb="FF1E5FA8"/>
      </left>
      <right style="thin">
        <color rgb="FF1E5FA8"/>
      </right>
      <top style="thin">
        <color rgb="FF1E5FA8"/>
      </top>
      <bottom style="thin">
        <color rgb="FF1E5FA8"/>
      </bottom>
      <diagonal/>
    </border>
    <border diagonalUp="false" diagonalDown="false">
      <left style="thin">
        <color rgb="FF0D2D5A"/>
      </left>
      <right style="medium"/>
      <top style="thin">
        <color rgb="FF0D2D5A"/>
      </top>
      <bottom style="thin">
        <color rgb="FF0D2D5A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3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07F"/>
      <rgbColor rgb="FFC0C0C0"/>
      <rgbColor rgb="FF808080"/>
      <rgbColor rgb="FF8DB4E2"/>
      <rgbColor rgb="FF993366"/>
      <rgbColor rgb="FFF0F6FB"/>
      <rgbColor rgb="FFE0EEF8"/>
      <rgbColor rgb="FF660066"/>
      <rgbColor rgb="FFFF8080"/>
      <rgbColor rgb="FF1E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B"/>
      <rgbColor rgb="FFEDF4FB"/>
      <rgbColor rgb="FFFFFF99"/>
      <rgbColor rgb="FFA8C8E8"/>
      <rgbColor rgb="FFFF99CC"/>
      <rgbColor rgb="FFCC99FF"/>
      <rgbColor rgb="FFFFCC99"/>
      <rgbColor rgb="FF3366FF"/>
      <rgbColor rgb="FF4DB8E8"/>
      <rgbColor rgb="FF99CC00"/>
      <rgbColor rgb="FFFFCC00"/>
      <rgbColor rgb="FFFF9900"/>
      <rgbColor rgb="FFFF6600"/>
      <rgbColor rgb="FF4A7A99"/>
      <rgbColor rgb="FF969696"/>
      <rgbColor rgb="FF0D2D5A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3"/>
  </cols>
  <sheetData>
    <row r="1" customFormat="false" ht="3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48" hidden="false" customHeight="true" outlineLevel="0" collapsed="false">
      <c r="A2" s="2" t="s">
        <v>0</v>
      </c>
      <c r="B2" s="2"/>
      <c r="C2" s="2"/>
      <c r="D2" s="2"/>
      <c r="E2" s="3" t="s">
        <v>1</v>
      </c>
      <c r="F2" s="3"/>
      <c r="G2" s="3"/>
      <c r="H2" s="4" t="s">
        <v>2</v>
      </c>
      <c r="I2" s="4"/>
      <c r="J2" s="4"/>
      <c r="K2" s="4"/>
    </row>
    <row r="3" customFormat="false" ht="3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19.5" hidden="false" customHeight="true" outlineLevel="0" collapsed="false">
      <c r="A4" s="6" t="s">
        <v>3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customFormat="false" ht="18" hidden="false" customHeight="true" outlineLevel="0" collapsed="false">
      <c r="A5" s="7" t="s">
        <v>4</v>
      </c>
      <c r="B5" s="7"/>
      <c r="C5" s="7"/>
      <c r="D5" s="8" t="s">
        <v>5</v>
      </c>
      <c r="E5" s="8"/>
      <c r="F5" s="8"/>
      <c r="G5" s="8" t="s">
        <v>6</v>
      </c>
      <c r="H5" s="8"/>
      <c r="I5" s="8"/>
      <c r="J5" s="8" t="s">
        <v>7</v>
      </c>
      <c r="K5" s="9"/>
    </row>
    <row r="6" customFormat="false" ht="15.75" hidden="false" customHeight="true" outlineLevel="0" collapsed="false">
      <c r="A6" s="10" t="s">
        <v>8</v>
      </c>
      <c r="B6" s="10"/>
      <c r="C6" s="10"/>
      <c r="D6" s="11" t="s">
        <v>9</v>
      </c>
      <c r="E6" s="11"/>
      <c r="F6" s="11"/>
      <c r="G6" s="11" t="s">
        <v>10</v>
      </c>
      <c r="H6" s="11"/>
      <c r="I6" s="11"/>
      <c r="J6" s="11" t="s">
        <v>11</v>
      </c>
      <c r="K6" s="12"/>
    </row>
    <row r="7" customFormat="false" ht="3.75" hidden="false" customHeight="true" outlineLevel="0" collapsed="false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</row>
    <row r="8" customFormat="false" ht="25.5" hidden="false" customHeight="true" outlineLevel="0" collapsed="false">
      <c r="A8" s="14" t="s">
        <v>12</v>
      </c>
      <c r="B8" s="14" t="s">
        <v>13</v>
      </c>
      <c r="C8" s="15" t="s">
        <v>14</v>
      </c>
      <c r="D8" s="15"/>
      <c r="E8" s="15"/>
      <c r="F8" s="15"/>
      <c r="G8" s="15"/>
      <c r="H8" s="15"/>
      <c r="I8" s="15"/>
      <c r="J8" s="15"/>
      <c r="K8" s="14" t="s">
        <v>15</v>
      </c>
    </row>
    <row r="9" customFormat="false" ht="31.5" hidden="false" customHeight="true" outlineLevel="0" collapsed="false">
      <c r="A9" s="14"/>
      <c r="B9" s="14"/>
      <c r="C9" s="16" t="s">
        <v>16</v>
      </c>
      <c r="D9" s="17" t="s">
        <v>17</v>
      </c>
      <c r="E9" s="17" t="s">
        <v>18</v>
      </c>
      <c r="F9" s="17" t="s">
        <v>19</v>
      </c>
      <c r="G9" s="17" t="s">
        <v>20</v>
      </c>
      <c r="H9" s="17" t="s">
        <v>21</v>
      </c>
      <c r="I9" s="17" t="s">
        <v>22</v>
      </c>
      <c r="J9" s="18" t="s">
        <v>23</v>
      </c>
      <c r="K9" s="14"/>
    </row>
    <row r="10" customFormat="false" ht="18" hidden="false" customHeight="true" outlineLevel="0" collapsed="false">
      <c r="A10" s="19" t="s">
        <v>24</v>
      </c>
      <c r="B10" s="20" t="n">
        <v>1</v>
      </c>
      <c r="C10" s="20" t="n">
        <v>2</v>
      </c>
      <c r="D10" s="20" t="n">
        <v>1</v>
      </c>
      <c r="E10" s="20" t="n">
        <v>0.5</v>
      </c>
      <c r="F10" s="20"/>
      <c r="G10" s="20" t="n">
        <v>1</v>
      </c>
      <c r="H10" s="20"/>
      <c r="I10" s="20"/>
      <c r="J10" s="20"/>
      <c r="K10" s="21" t="n">
        <v>198</v>
      </c>
    </row>
    <row r="11" customFormat="false" ht="18" hidden="false" customHeight="true" outlineLevel="0" collapsed="false">
      <c r="A11" s="22" t="s">
        <v>25</v>
      </c>
      <c r="B11" s="23" t="n">
        <v>1</v>
      </c>
      <c r="C11" s="23" t="n">
        <v>1</v>
      </c>
      <c r="D11" s="23"/>
      <c r="E11" s="23" t="n">
        <v>1</v>
      </c>
      <c r="F11" s="23" t="n">
        <v>1</v>
      </c>
      <c r="G11" s="23"/>
      <c r="H11" s="23"/>
      <c r="I11" s="23"/>
      <c r="J11" s="23"/>
      <c r="K11" s="24" t="n">
        <v>99</v>
      </c>
    </row>
    <row r="12" customFormat="false" ht="18" hidden="false" customHeight="true" outlineLevel="0" collapsed="false">
      <c r="A12" s="25"/>
      <c r="B12" s="26"/>
      <c r="C12" s="26"/>
      <c r="D12" s="26"/>
      <c r="E12" s="26"/>
      <c r="F12" s="26"/>
      <c r="G12" s="26"/>
      <c r="H12" s="26"/>
      <c r="I12" s="26"/>
      <c r="J12" s="26"/>
      <c r="K12" s="27"/>
    </row>
    <row r="13" customFormat="false" ht="18" hidden="false" customHeight="true" outlineLevel="0" collapsed="false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4"/>
    </row>
    <row r="14" customFormat="false" ht="18" hidden="false" customHeight="true" outlineLevel="0" collapsed="false">
      <c r="A14" s="25"/>
      <c r="B14" s="26"/>
      <c r="C14" s="26"/>
      <c r="D14" s="26"/>
      <c r="E14" s="26"/>
      <c r="F14" s="26"/>
      <c r="G14" s="26"/>
      <c r="H14" s="26"/>
      <c r="I14" s="26"/>
      <c r="J14" s="26"/>
      <c r="K14" s="27"/>
    </row>
    <row r="15" customFormat="false" ht="18" hidden="false" customHeight="true" outlineLevel="0" collapsed="false">
      <c r="A15" s="22"/>
      <c r="B15" s="23"/>
      <c r="C15" s="23"/>
      <c r="D15" s="23"/>
      <c r="E15" s="23"/>
      <c r="F15" s="23"/>
      <c r="G15" s="23"/>
      <c r="H15" s="23"/>
      <c r="I15" s="23"/>
      <c r="J15" s="23"/>
      <c r="K15" s="24"/>
    </row>
    <row r="16" customFormat="false" ht="18" hidden="false" customHeight="true" outlineLevel="0" collapsed="false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7"/>
    </row>
    <row r="17" customFormat="false" ht="18" hidden="false" customHeight="true" outlineLevel="0" collapsed="false">
      <c r="A17" s="22"/>
      <c r="B17" s="23"/>
      <c r="C17" s="23"/>
      <c r="D17" s="23"/>
      <c r="E17" s="23"/>
      <c r="F17" s="23"/>
      <c r="G17" s="23"/>
      <c r="H17" s="23"/>
      <c r="I17" s="23"/>
      <c r="J17" s="23"/>
      <c r="K17" s="24"/>
    </row>
    <row r="18" customFormat="false" ht="18" hidden="false" customHeight="true" outlineLevel="0" collapsed="false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7"/>
    </row>
    <row r="19" customFormat="false" ht="18" hidden="false" customHeight="true" outlineLevel="0" collapsed="false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30"/>
    </row>
    <row r="20" customFormat="false" ht="19.5" hidden="false" customHeight="true" outlineLevel="0" collapsed="false">
      <c r="A20" s="31" t="s">
        <v>26</v>
      </c>
      <c r="B20" s="32"/>
      <c r="C20" s="33" t="n">
        <f aca="false">SUM(C10:C19)</f>
        <v>3</v>
      </c>
      <c r="D20" s="33" t="n">
        <f aca="false">SUM(D10:D19)</f>
        <v>1</v>
      </c>
      <c r="E20" s="33" t="n">
        <f aca="false">SUM(E10:E19)</f>
        <v>1.5</v>
      </c>
      <c r="F20" s="33" t="n">
        <f aca="false">SUM(F10:F19)</f>
        <v>1</v>
      </c>
      <c r="G20" s="33" t="n">
        <f aca="false">SUM(G10:G19)</f>
        <v>1</v>
      </c>
      <c r="H20" s="33" t="n">
        <f aca="false">SUM(H10:H19)</f>
        <v>0</v>
      </c>
      <c r="I20" s="33" t="n">
        <f aca="false">SUM(I10:I19)</f>
        <v>0</v>
      </c>
      <c r="J20" s="33" t="n">
        <f aca="false">SUM(J10:J19)</f>
        <v>0</v>
      </c>
      <c r="K20" s="34"/>
    </row>
    <row r="21" customFormat="false" ht="16.5" hidden="false" customHeight="true" outlineLevel="0" collapsed="false">
      <c r="A21" s="35" t="s">
        <v>27</v>
      </c>
      <c r="B21" s="36"/>
      <c r="C21" s="37" t="n">
        <v>57</v>
      </c>
      <c r="D21" s="37" t="n">
        <v>56.4</v>
      </c>
      <c r="E21" s="37" t="n">
        <v>13</v>
      </c>
      <c r="F21" s="37" t="n">
        <v>29</v>
      </c>
      <c r="G21" s="37" t="n">
        <v>25</v>
      </c>
      <c r="H21" s="37" t="n">
        <v>32</v>
      </c>
      <c r="I21" s="37" t="n">
        <v>184</v>
      </c>
      <c r="J21" s="37" t="n">
        <v>180</v>
      </c>
      <c r="K21" s="38"/>
    </row>
    <row r="22" customFormat="false" ht="21.75" hidden="false" customHeight="true" outlineLevel="0" collapsed="false">
      <c r="A22" s="39" t="s">
        <v>28</v>
      </c>
      <c r="B22" s="40"/>
      <c r="C22" s="41" t="n">
        <f aca="false">C20*C21</f>
        <v>171</v>
      </c>
      <c r="D22" s="41" t="n">
        <f aca="false">D20*D21</f>
        <v>56.4</v>
      </c>
      <c r="E22" s="41" t="n">
        <f aca="false">E20*E21</f>
        <v>19.5</v>
      </c>
      <c r="F22" s="41" t="n">
        <f aca="false">F20*F21</f>
        <v>29</v>
      </c>
      <c r="G22" s="41" t="n">
        <f aca="false">G20*G21</f>
        <v>25</v>
      </c>
      <c r="H22" s="41" t="n">
        <f aca="false">H20*H21</f>
        <v>0</v>
      </c>
      <c r="I22" s="41" t="n">
        <f aca="false">I20*I21</f>
        <v>0</v>
      </c>
      <c r="J22" s="41" t="n">
        <f aca="false">J20*J21</f>
        <v>0</v>
      </c>
      <c r="K22" s="42" t="n">
        <f aca="false">SUM(C22,D22,E22,F22,G22,H22,I22,J22)</f>
        <v>300.9</v>
      </c>
    </row>
    <row r="23" customFormat="false" ht="20.25" hidden="false" customHeight="true" outlineLevel="0" collapsed="false">
      <c r="A23" s="43" t="s">
        <v>29</v>
      </c>
      <c r="B23" s="43"/>
      <c r="C23" s="43"/>
      <c r="D23" s="43"/>
      <c r="E23" s="43"/>
      <c r="F23" s="43"/>
      <c r="G23" s="43"/>
      <c r="H23" s="44" t="s">
        <v>30</v>
      </c>
      <c r="I23" s="44"/>
      <c r="J23" s="44"/>
      <c r="K23" s="44"/>
    </row>
  </sheetData>
  <mergeCells count="19">
    <mergeCell ref="A1:K1"/>
    <mergeCell ref="A2:D2"/>
    <mergeCell ref="E2:G2"/>
    <mergeCell ref="H2:K2"/>
    <mergeCell ref="A3:K3"/>
    <mergeCell ref="A4:K4"/>
    <mergeCell ref="A5:C5"/>
    <mergeCell ref="D5:F5"/>
    <mergeCell ref="G5:I5"/>
    <mergeCell ref="A6:C6"/>
    <mergeCell ref="D6:F6"/>
    <mergeCell ref="G6:I6"/>
    <mergeCell ref="A7:K7"/>
    <mergeCell ref="A8:A9"/>
    <mergeCell ref="B8:B9"/>
    <mergeCell ref="C8:J8"/>
    <mergeCell ref="K8:K9"/>
    <mergeCell ref="A23:G23"/>
    <mergeCell ref="H23:K23"/>
  </mergeCells>
  <printOptions headings="false" gridLines="false" gridLinesSet="true" horizontalCentered="false" verticalCentered="false"/>
  <pageMargins left="0.4" right="0.4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2026-03-15T17:33:28Z</dcterms:created>
  <dc:creator>openpyxl</dc:creator>
  <dc:description/>
  <dc:language>en-US</dc:language>
  <cp:lastModifiedBy/>
  <dcterms:modified xsi:type="dcterms:W3CDTF">2026-03-15T17:33:28Z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